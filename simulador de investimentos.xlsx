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lc\OneDrive\Desktop\Excel\"/>
    </mc:Choice>
  </mc:AlternateContent>
  <xr:revisionPtr revIDLastSave="0" documentId="13_ncr:1_{6C37D3E1-B0E5-4282-94ED-0FE9B127D7A1}" xr6:coauthVersionLast="47" xr6:coauthVersionMax="47" xr10:uidLastSave="{00000000-0000-0000-0000-000000000000}"/>
  <bookViews>
    <workbookView xWindow="-120" yWindow="-120" windowWidth="29040" windowHeight="16440" xr2:uid="{51390266-45E4-4470-AB05-8B69E4A17D71}"/>
  </bookViews>
  <sheets>
    <sheet name="Simulador-investimento" sheetId="1" r:id="rId1"/>
    <sheet name="Tabela-apoio" sheetId="2" r:id="rId2"/>
  </sheets>
  <definedNames>
    <definedName name="aporte">'Simulador-investimento'!$C$16</definedName>
    <definedName name="patrimonio">'Simulador-investimento'!$C$19</definedName>
    <definedName name="quantidade_anos">'Simulador-investimento'!$C$17</definedName>
    <definedName name="rendimento_carteira">'Simulador-investimento'!$C$12</definedName>
    <definedName name="salario">'Simulador-investimento'!$C$11</definedName>
    <definedName name="sugestao_investimento">'Simulador-investimento'!$C$13</definedName>
    <definedName name="taxa_mensal">'Simulador-investimento'!$C$18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F14" i="1"/>
  <c r="G14" i="1" s="1"/>
  <c r="F15" i="1"/>
  <c r="G15" i="1" s="1"/>
  <c r="F16" i="1"/>
  <c r="G16" i="1" s="1"/>
  <c r="F17" i="1"/>
  <c r="G17" i="1" s="1"/>
  <c r="F18" i="1"/>
  <c r="G18" i="1" s="1"/>
  <c r="F13" i="1"/>
  <c r="G13" i="1" s="1"/>
  <c r="A10" i="2"/>
  <c r="A9" i="2"/>
  <c r="A16" i="2"/>
  <c r="A17" i="2"/>
  <c r="A18" i="2"/>
  <c r="A19" i="2"/>
  <c r="A20" i="2"/>
  <c r="A15" i="2"/>
  <c r="A11" i="2"/>
  <c r="A12" i="2"/>
  <c r="A13" i="2"/>
  <c r="A14" i="2"/>
  <c r="A8" i="2"/>
  <c r="A4" i="2"/>
  <c r="A5" i="2"/>
  <c r="A6" i="2"/>
  <c r="A7" i="2"/>
  <c r="A3" i="2"/>
  <c r="C19" i="1"/>
  <c r="C20" i="1" s="1"/>
  <c r="C13" i="1"/>
  <c r="C23" i="1"/>
  <c r="D23" i="1" s="1"/>
  <c r="C24" i="1"/>
  <c r="D24" i="1" s="1"/>
  <c r="C25" i="1"/>
  <c r="D25" i="1" s="1"/>
  <c r="C26" i="1"/>
  <c r="D26" i="1" s="1"/>
  <c r="C27" i="1"/>
  <c r="D27" i="1" s="1"/>
  <c r="G19" i="1" l="1"/>
</calcChain>
</file>

<file path=xl/sharedStrings.xml><?xml version="1.0" encoding="utf-8"?>
<sst xmlns="http://schemas.openxmlformats.org/spreadsheetml/2006/main" count="71" uniqueCount="36">
  <si>
    <t>Quanto investir por mês?</t>
  </si>
  <si>
    <t>Por quantos anos?</t>
  </si>
  <si>
    <t>Taxa de Rendimento mensal?</t>
  </si>
  <si>
    <t>Patrimonios acumulados?</t>
  </si>
  <si>
    <t xml:space="preserve">Dividendos Mensais? </t>
  </si>
  <si>
    <t>INVESTIMENTO MENSAL</t>
  </si>
  <si>
    <t>Quanto em 2 anos?</t>
  </si>
  <si>
    <t>Quanto em 5 anos?</t>
  </si>
  <si>
    <t>Quantos em 10 anos?</t>
  </si>
  <si>
    <t>Quantos em 20 anos?</t>
  </si>
  <si>
    <t>Quantos em 30 anos?</t>
  </si>
  <si>
    <t>CENÁRIOS</t>
  </si>
  <si>
    <t>DIVIDENDO</t>
  </si>
  <si>
    <t>CONFIGURAÇÕES</t>
  </si>
  <si>
    <t>Salário</t>
  </si>
  <si>
    <t>Rendimento de carteira</t>
  </si>
  <si>
    <t>DIO INVEST</t>
  </si>
  <si>
    <t>AGRESSIVO</t>
  </si>
  <si>
    <t>MODERADO</t>
  </si>
  <si>
    <t>CONSERVADOR</t>
  </si>
  <si>
    <t>VALOR A SER INVESTIDO POR MÊS</t>
  </si>
  <si>
    <t>PERFIL</t>
  </si>
  <si>
    <t>TIPO DE FII</t>
  </si>
  <si>
    <t>Valores</t>
  </si>
  <si>
    <t>Percentual Sugerido</t>
  </si>
  <si>
    <t>PAPEL</t>
  </si>
  <si>
    <t>TIJOLO</t>
  </si>
  <si>
    <t>HÍBRIDOS</t>
  </si>
  <si>
    <t>FOFs</t>
  </si>
  <si>
    <t>DESENVOLVIMENTOS</t>
  </si>
  <si>
    <t>HOTELARIAS</t>
  </si>
  <si>
    <t>TOTAL</t>
  </si>
  <si>
    <t>%</t>
  </si>
  <si>
    <t>TIPOS DE FII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</si>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</sst>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00%"/>
    <numFmt numFmtId="165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72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72"/>
      <color theme="0"/>
      <name val="Bahnschrift Light SemiCondensed"/>
      <family val="2"/>
    </font>
    <font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5" fontId="3" fillId="0" borderId="21" xfId="0" applyNumberFormat="1" applyFont="1" applyBorder="1" applyAlignment="1">
      <alignment horizontal="center"/>
    </xf>
    <xf numFmtId="1" fontId="3" fillId="0" borderId="23" xfId="0" applyNumberFormat="1" applyFont="1" applyBorder="1" applyAlignment="1">
      <alignment horizontal="center"/>
    </xf>
    <xf numFmtId="10" fontId="3" fillId="0" borderId="23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8" fillId="0" borderId="20" xfId="0" applyFont="1" applyBorder="1"/>
    <xf numFmtId="0" fontId="8" fillId="0" borderId="22" xfId="0" applyFont="1" applyBorder="1"/>
    <xf numFmtId="0" fontId="8" fillId="4" borderId="11" xfId="0" applyFont="1" applyFill="1" applyBorder="1"/>
    <xf numFmtId="8" fontId="0" fillId="4" borderId="17" xfId="0" applyNumberFormat="1" applyFill="1" applyBorder="1" applyAlignment="1">
      <alignment horizontal="center"/>
    </xf>
    <xf numFmtId="8" fontId="0" fillId="4" borderId="12" xfId="0" applyNumberFormat="1" applyFill="1" applyBorder="1" applyAlignment="1">
      <alignment horizontal="center"/>
    </xf>
    <xf numFmtId="0" fontId="8" fillId="4" borderId="13" xfId="0" applyFont="1" applyFill="1" applyBorder="1"/>
    <xf numFmtId="8" fontId="0" fillId="4" borderId="18" xfId="0" applyNumberFormat="1" applyFill="1" applyBorder="1" applyAlignment="1">
      <alignment horizontal="center"/>
    </xf>
    <xf numFmtId="8" fontId="0" fillId="4" borderId="14" xfId="0" applyNumberFormat="1" applyFill="1" applyBorder="1" applyAlignment="1">
      <alignment horizontal="center"/>
    </xf>
    <xf numFmtId="0" fontId="8" fillId="4" borderId="15" xfId="0" applyFont="1" applyFill="1" applyBorder="1"/>
    <xf numFmtId="8" fontId="0" fillId="4" borderId="19" xfId="0" applyNumberFormat="1" applyFill="1" applyBorder="1" applyAlignment="1">
      <alignment horizontal="center"/>
    </xf>
    <xf numFmtId="8" fontId="0" fillId="4" borderId="16" xfId="0" applyNumberFormat="1" applyFill="1" applyBorder="1" applyAlignment="1">
      <alignment horizontal="center"/>
    </xf>
    <xf numFmtId="0" fontId="9" fillId="4" borderId="22" xfId="0" applyFont="1" applyFill="1" applyBorder="1"/>
    <xf numFmtId="8" fontId="3" fillId="4" borderId="23" xfId="0" applyNumberFormat="1" applyFont="1" applyFill="1" applyBorder="1" applyAlignment="1">
      <alignment horizontal="center"/>
    </xf>
    <xf numFmtId="0" fontId="9" fillId="4" borderId="24" xfId="0" applyFont="1" applyFill="1" applyBorder="1"/>
    <xf numFmtId="8" fontId="3" fillId="4" borderId="25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165" fontId="0" fillId="4" borderId="16" xfId="0" applyNumberForma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/>
    <xf numFmtId="165" fontId="0" fillId="3" borderId="6" xfId="0" applyNumberFormat="1" applyFill="1" applyBorder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165" fontId="0" fillId="4" borderId="14" xfId="0" applyNumberFormat="1" applyFill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165" fontId="0" fillId="4" borderId="16" xfId="0" applyNumberFormat="1" applyFill="1" applyBorder="1" applyAlignment="1">
      <alignment horizontal="center" vertical="center"/>
    </xf>
    <xf numFmtId="0" fontId="3" fillId="3" borderId="27" xfId="0" applyFont="1" applyFill="1" applyBorder="1"/>
    <xf numFmtId="165" fontId="3" fillId="3" borderId="28" xfId="0" applyNumberFormat="1" applyFont="1" applyFill="1" applyBorder="1"/>
    <xf numFmtId="165" fontId="3" fillId="3" borderId="29" xfId="0" applyNumberFormat="1" applyFont="1" applyFill="1" applyBorder="1"/>
    <xf numFmtId="0" fontId="10" fillId="5" borderId="1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0" fontId="5" fillId="6" borderId="26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center" vertic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645713035870517"/>
          <c:y val="0.19486111111111112"/>
          <c:w val="0.68749431321084864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'Simulador-investimento'!$F$12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'Simulador-investimento'!$E$13:$E$18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DESENVOLVIMENTOS</c:v>
                </c:pt>
                <c:pt idx="5">
                  <c:v>HOTELARIAS</c:v>
                </c:pt>
              </c:strCache>
            </c:strRef>
          </c:cat>
          <c:val>
            <c:numRef>
              <c:f>'Simulador-investimento'!$F$13:$F$18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F-4CB2-BF13-82882AB91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1941936"/>
        <c:axId val="221889296"/>
      </c:barChart>
      <c:catAx>
        <c:axId val="23194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889296"/>
        <c:crosses val="autoZero"/>
        <c:auto val="1"/>
        <c:lblAlgn val="ctr"/>
        <c:lblOffset val="100"/>
        <c:noMultiLvlLbl val="0"/>
      </c:catAx>
      <c:valAx>
        <c:axId val="22188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194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7" Type="http://schemas.openxmlformats.org/officeDocument/2006/relationships/image" Target="../media/image6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184896</xdr:colOff>
      <xdr:row>19</xdr:row>
      <xdr:rowOff>78441</xdr:rowOff>
    </xdr:from>
    <xdr:to>
      <xdr:col>7</xdr:col>
      <xdr:colOff>22411</xdr:colOff>
      <xdr:row>27</xdr:row>
      <xdr:rowOff>11206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D37CA8-9CC7-5CEF-F642-934C0C1F4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896472</xdr:colOff>
      <xdr:row>2</xdr:row>
      <xdr:rowOff>156882</xdr:rowOff>
    </xdr:from>
    <xdr:to>
      <xdr:col>1</xdr:col>
      <xdr:colOff>1972236</xdr:colOff>
      <xdr:row>8</xdr:row>
      <xdr:rowOff>67234</xdr:rowOff>
    </xdr:to>
    <xdr:pic>
      <xdr:nvPicPr>
        <xdr:cNvPr id="6" name="Gráfico 5" descr="Moedas com preenchimento sólido">
          <a:extLst>
            <a:ext uri="{FF2B5EF4-FFF2-40B4-BE49-F238E27FC236}">
              <a16:creationId xmlns:a16="http://schemas.microsoft.com/office/drawing/2014/main" id="{B60E1BDA-45D3-B762-6476-978B98169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21443" y="537882"/>
          <a:ext cx="1075764" cy="1075764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896472</xdr:colOff>
      <xdr:row>8</xdr:row>
      <xdr:rowOff>186018</xdr:rowOff>
    </xdr:from>
    <xdr:to>
      <xdr:col>1</xdr:col>
      <xdr:colOff>1288676</xdr:colOff>
      <xdr:row>10</xdr:row>
      <xdr:rowOff>6722</xdr:rowOff>
    </xdr:to>
    <xdr:pic>
      <xdr:nvPicPr>
        <xdr:cNvPr id="8" name="Gráfico 7" descr="Engrenagem única com preenchimento sólido">
          <a:extLst>
            <a:ext uri="{FF2B5EF4-FFF2-40B4-BE49-F238E27FC236}">
              <a16:creationId xmlns:a16="http://schemas.microsoft.com/office/drawing/2014/main" id="{480D4F03-E381-E5EA-8E96-4B21B43DB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221443" y="1732430"/>
          <a:ext cx="392204" cy="392204"/>
        </a:xfrm>
        <a:prstGeom prst="rect">
          <a:avLst/>
        </a:prstGeom>
      </xdr:spPr>
    </xdr:pic>
    <xdr:clientData/>
  </xdr:twoCellAnchor>
  <xdr:twoCellAnchor editAs="oneCell">
    <xdr:from>
      <xdr:col>4</xdr:col>
      <xdr:colOff>212913</xdr:colOff>
      <xdr:row>8</xdr:row>
      <xdr:rowOff>190500</xdr:rowOff>
    </xdr:from>
    <xdr:to>
      <xdr:col>4</xdr:col>
      <xdr:colOff>589430</xdr:colOff>
      <xdr:row>9</xdr:row>
      <xdr:rowOff>365311</xdr:rowOff>
    </xdr:to>
    <xdr:pic>
      <xdr:nvPicPr>
        <xdr:cNvPr id="10" name="Gráfico 9" descr="Usuário com preenchimento sólido">
          <a:extLst>
            <a:ext uri="{FF2B5EF4-FFF2-40B4-BE49-F238E27FC236}">
              <a16:creationId xmlns:a16="http://schemas.microsoft.com/office/drawing/2014/main" id="{E7158DE6-F198-BACD-E47C-E8F2D8AA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860678" y="1736912"/>
          <a:ext cx="376517" cy="376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3A01-A37D-4C8D-B178-1F1320210C55}">
  <dimension ref="A1:XFC67"/>
  <sheetViews>
    <sheetView showGridLines="0" showRowColHeaders="0" tabSelected="1" zoomScale="115" zoomScaleNormal="115" workbookViewId="0">
      <selection activeCell="C11" sqref="C11"/>
    </sheetView>
  </sheetViews>
  <sheetFormatPr defaultColWidth="9.140625" defaultRowHeight="15" zeroHeight="1" x14ac:dyDescent="0.25"/>
  <cols>
    <col min="1" max="1" width="4.85546875" customWidth="1"/>
    <col min="2" max="2" width="41.85546875" bestFit="1" customWidth="1"/>
    <col min="3" max="3" width="26.28515625" customWidth="1"/>
    <col min="4" max="4" width="12.7109375" bestFit="1" customWidth="1"/>
    <col min="5" max="5" width="31.42578125" bestFit="1" customWidth="1"/>
    <col min="6" max="6" width="19.140625" bestFit="1" customWidth="1"/>
    <col min="7" max="7" width="25.140625" customWidth="1"/>
    <col min="8" max="8" width="9.5703125" customWidth="1"/>
    <col min="9" max="16383" width="0" hidden="1" customWidth="1"/>
    <col min="16384" max="16384" width="4.5703125" hidden="1" customWidth="1"/>
  </cols>
  <sheetData>
    <row r="1" spans="2:7" x14ac:dyDescent="0.25"/>
    <row r="2" spans="2:7" x14ac:dyDescent="0.25"/>
    <row r="3" spans="2:7" ht="15.75" thickBot="1" x14ac:dyDescent="0.3"/>
    <row r="4" spans="2:7" x14ac:dyDescent="0.25">
      <c r="B4" s="45" t="s">
        <v>16</v>
      </c>
      <c r="C4" s="46"/>
      <c r="D4" s="46"/>
      <c r="E4" s="46"/>
      <c r="F4" s="47"/>
    </row>
    <row r="5" spans="2:7" x14ac:dyDescent="0.25">
      <c r="B5" s="48"/>
      <c r="C5" s="49"/>
      <c r="D5" s="49"/>
      <c r="E5" s="49"/>
      <c r="F5" s="50"/>
    </row>
    <row r="6" spans="2:7" x14ac:dyDescent="0.25">
      <c r="B6" s="48"/>
      <c r="C6" s="49"/>
      <c r="D6" s="49"/>
      <c r="E6" s="49"/>
      <c r="F6" s="50"/>
    </row>
    <row r="7" spans="2:7" x14ac:dyDescent="0.25">
      <c r="B7" s="48"/>
      <c r="C7" s="49"/>
      <c r="D7" s="49"/>
      <c r="E7" s="49"/>
      <c r="F7" s="50"/>
    </row>
    <row r="8" spans="2:7" ht="15.75" thickBot="1" x14ac:dyDescent="0.3">
      <c r="B8" s="51"/>
      <c r="C8" s="52"/>
      <c r="D8" s="52"/>
      <c r="E8" s="52"/>
      <c r="F8" s="53"/>
    </row>
    <row r="9" spans="2:7" ht="15.75" thickBot="1" x14ac:dyDescent="0.3"/>
    <row r="10" spans="2:7" ht="29.25" thickBot="1" x14ac:dyDescent="0.3">
      <c r="B10" s="54" t="s">
        <v>13</v>
      </c>
      <c r="C10" s="55"/>
      <c r="E10" s="56" t="s">
        <v>21</v>
      </c>
      <c r="F10" s="57" t="s">
        <v>19</v>
      </c>
      <c r="G10" s="58"/>
    </row>
    <row r="11" spans="2:7" ht="16.5" thickBot="1" x14ac:dyDescent="0.3">
      <c r="B11" s="11" t="s">
        <v>14</v>
      </c>
      <c r="C11" s="8">
        <v>5000</v>
      </c>
      <c r="E11" s="42" t="s">
        <v>20</v>
      </c>
      <c r="F11" s="43"/>
      <c r="G11" s="44">
        <f>aporte</f>
        <v>500</v>
      </c>
    </row>
    <row r="12" spans="2:7" ht="16.5" thickBot="1" x14ac:dyDescent="0.3">
      <c r="B12" s="14" t="s">
        <v>15</v>
      </c>
      <c r="C12" s="7">
        <v>6.0000000000000001E-3</v>
      </c>
      <c r="E12" s="27" t="s">
        <v>22</v>
      </c>
      <c r="F12" s="28" t="s">
        <v>24</v>
      </c>
      <c r="G12" s="29" t="s">
        <v>23</v>
      </c>
    </row>
    <row r="13" spans="2:7" ht="16.5" thickBot="1" x14ac:dyDescent="0.3">
      <c r="B13" s="17" t="s">
        <v>35</v>
      </c>
      <c r="C13" s="26">
        <f>C11*30%</f>
        <v>1500</v>
      </c>
      <c r="E13" s="33" t="s">
        <v>25</v>
      </c>
      <c r="F13" s="36">
        <f>VLOOKUP($F$10&amp;"-"&amp;E13,'Tabela-apoio'!$A$2:$D$20,4,FALSE)</f>
        <v>0.3</v>
      </c>
      <c r="G13" s="37">
        <f>F13*$G$11</f>
        <v>150</v>
      </c>
    </row>
    <row r="14" spans="2:7" ht="15.75" thickBot="1" x14ac:dyDescent="0.3">
      <c r="E14" s="34" t="s">
        <v>26</v>
      </c>
      <c r="F14" s="38">
        <f>VLOOKUP($F$10&amp;"-"&amp;E14,'Tabela-apoio'!$A$2:$D$20,4,FALSE)</f>
        <v>0.5</v>
      </c>
      <c r="G14" s="39">
        <f t="shared" ref="G14:G18" si="0">F14*$G$11</f>
        <v>250</v>
      </c>
    </row>
    <row r="15" spans="2:7" ht="24.75" customHeight="1" thickBot="1" x14ac:dyDescent="0.3">
      <c r="B15" s="59" t="s">
        <v>5</v>
      </c>
      <c r="C15" s="60"/>
      <c r="E15" s="34" t="s">
        <v>27</v>
      </c>
      <c r="F15" s="38">
        <f>VLOOKUP($F$10&amp;"-"&amp;E15,'Tabela-apoio'!$A$2:$D$20,4,FALSE)</f>
        <v>0.1</v>
      </c>
      <c r="G15" s="39">
        <f t="shared" si="0"/>
        <v>50</v>
      </c>
    </row>
    <row r="16" spans="2:7" ht="16.5" thickBot="1" x14ac:dyDescent="0.3">
      <c r="B16" s="9" t="s">
        <v>0</v>
      </c>
      <c r="C16" s="4">
        <v>500</v>
      </c>
      <c r="E16" s="34" t="s">
        <v>28</v>
      </c>
      <c r="F16" s="38">
        <f>VLOOKUP($F$10&amp;"-"&amp;E16,'Tabela-apoio'!$A$2:$D$20,4,FALSE)</f>
        <v>0.1</v>
      </c>
      <c r="G16" s="39">
        <f t="shared" si="0"/>
        <v>50</v>
      </c>
    </row>
    <row r="17" spans="1:7" ht="16.5" thickBot="1" x14ac:dyDescent="0.3">
      <c r="B17" s="10" t="s">
        <v>1</v>
      </c>
      <c r="C17" s="5">
        <v>5</v>
      </c>
      <c r="E17" s="34" t="s">
        <v>29</v>
      </c>
      <c r="F17" s="38">
        <f>VLOOKUP($F$10&amp;"-"&amp;E17,'Tabela-apoio'!$A$2:$D$20,4,FALSE)</f>
        <v>0</v>
      </c>
      <c r="G17" s="39">
        <f t="shared" si="0"/>
        <v>0</v>
      </c>
    </row>
    <row r="18" spans="1:7" ht="16.5" thickBot="1" x14ac:dyDescent="0.3">
      <c r="B18" s="10" t="s">
        <v>2</v>
      </c>
      <c r="C18" s="6">
        <v>1.0789999999999999E-2</v>
      </c>
      <c r="E18" s="35" t="s">
        <v>30</v>
      </c>
      <c r="F18" s="40">
        <f>VLOOKUP($F$10&amp;"-"&amp;E18,'Tabela-apoio'!$A$2:$D$20,4,FALSE)</f>
        <v>0</v>
      </c>
      <c r="G18" s="41">
        <f t="shared" si="0"/>
        <v>0</v>
      </c>
    </row>
    <row r="19" spans="1:7" ht="16.5" thickBot="1" x14ac:dyDescent="0.3">
      <c r="B19" s="20" t="s">
        <v>3</v>
      </c>
      <c r="C19" s="21">
        <f>FV(taxa_mensal,quantidade_anos*12,aporte*-1)</f>
        <v>41888.456999243819</v>
      </c>
      <c r="E19" s="30" t="s">
        <v>31</v>
      </c>
      <c r="F19" s="31"/>
      <c r="G19" s="32">
        <f>SUM(G13:G18)</f>
        <v>500</v>
      </c>
    </row>
    <row r="20" spans="1:7" ht="16.5" thickBot="1" x14ac:dyDescent="0.3">
      <c r="B20" s="22" t="s">
        <v>4</v>
      </c>
      <c r="C20" s="23">
        <f>patrimonio*rendimento_carteira</f>
        <v>251.33074199546292</v>
      </c>
    </row>
    <row r="21" spans="1:7" ht="15.75" thickBot="1" x14ac:dyDescent="0.3"/>
    <row r="22" spans="1:7" ht="27" thickBot="1" x14ac:dyDescent="0.3">
      <c r="B22" s="59" t="s">
        <v>11</v>
      </c>
      <c r="C22" s="61"/>
      <c r="D22" s="62" t="s">
        <v>12</v>
      </c>
    </row>
    <row r="23" spans="1:7" ht="16.5" thickBot="1" x14ac:dyDescent="0.3">
      <c r="A23" s="1">
        <v>2</v>
      </c>
      <c r="B23" s="11" t="s">
        <v>6</v>
      </c>
      <c r="C23" s="12">
        <f>FV($C$18,$A23*12,$C$16*-1)</f>
        <v>13613.813648822608</v>
      </c>
      <c r="D23" s="13">
        <f>C23*rendimento_carteira</f>
        <v>81.682881892935654</v>
      </c>
    </row>
    <row r="24" spans="1:7" ht="16.5" thickBot="1" x14ac:dyDescent="0.3">
      <c r="A24" s="1">
        <v>5</v>
      </c>
      <c r="B24" s="14" t="s">
        <v>7</v>
      </c>
      <c r="C24" s="15">
        <f>FV($C$18,$A24*12,$C$16*-1)</f>
        <v>41888.456999243819</v>
      </c>
      <c r="D24" s="16">
        <f>C24*rendimento_carteira</f>
        <v>251.33074199546292</v>
      </c>
    </row>
    <row r="25" spans="1:7" ht="16.5" thickBot="1" x14ac:dyDescent="0.3">
      <c r="A25" s="1">
        <v>10</v>
      </c>
      <c r="B25" s="14" t="s">
        <v>8</v>
      </c>
      <c r="C25" s="15">
        <f t="shared" ref="C25:C27" si="1">FV($C$18,$A25*12,$C$16*-1)</f>
        <v>121642.1062650861</v>
      </c>
      <c r="D25" s="16">
        <f>C25*rendimento_carteira</f>
        <v>729.85263759051657</v>
      </c>
    </row>
    <row r="26" spans="1:7" ht="16.5" thickBot="1" x14ac:dyDescent="0.3">
      <c r="A26" s="1">
        <v>20</v>
      </c>
      <c r="B26" s="14" t="s">
        <v>9</v>
      </c>
      <c r="C26" s="15">
        <f t="shared" si="1"/>
        <v>562599.20004854025</v>
      </c>
      <c r="D26" s="16">
        <f>C26*rendimento_carteira</f>
        <v>3375.5952002912418</v>
      </c>
    </row>
    <row r="27" spans="1:7" ht="16.5" thickBot="1" x14ac:dyDescent="0.3">
      <c r="A27" s="1">
        <v>30</v>
      </c>
      <c r="B27" s="17" t="s">
        <v>10</v>
      </c>
      <c r="C27" s="18">
        <f t="shared" si="1"/>
        <v>2161084.8275023573</v>
      </c>
      <c r="D27" s="19">
        <f>C27*rendimento_carteira</f>
        <v>12966.508965014144</v>
      </c>
    </row>
    <row r="28" spans="1:7" x14ac:dyDescent="0.25"/>
    <row r="29" spans="1:7" x14ac:dyDescent="0.25"/>
    <row r="33" customFormat="1" hidden="1" x14ac:dyDescent="0.25"/>
    <row r="34" customFormat="1" hidden="1" x14ac:dyDescent="0.25"/>
    <row r="35" customFormat="1" hidden="1" x14ac:dyDescent="0.25"/>
    <row r="36" customFormat="1" hidden="1" x14ac:dyDescent="0.25"/>
    <row r="37" customFormat="1" hidden="1" x14ac:dyDescent="0.25"/>
    <row r="38" customFormat="1" hidden="1" x14ac:dyDescent="0.25"/>
    <row r="39" customFormat="1" hidden="1" x14ac:dyDescent="0.25"/>
    <row r="40" customFormat="1" hidden="1" x14ac:dyDescent="0.25"/>
    <row r="41" customFormat="1" hidden="1" x14ac:dyDescent="0.25"/>
    <row r="42" customFormat="1" hidden="1" x14ac:dyDescent="0.25"/>
    <row r="43" customFormat="1" hidden="1" x14ac:dyDescent="0.25"/>
    <row r="44" customFormat="1" hidden="1" x14ac:dyDescent="0.25"/>
    <row r="45" customFormat="1" hidden="1" x14ac:dyDescent="0.25"/>
    <row r="46" customFormat="1" hidden="1" x14ac:dyDescent="0.25"/>
    <row r="47" customFormat="1" hidden="1" x14ac:dyDescent="0.25"/>
    <row r="48" customFormat="1" hidden="1" x14ac:dyDescent="0.25"/>
    <row r="49" customFormat="1" hidden="1" x14ac:dyDescent="0.25"/>
    <row r="50" customFormat="1" hidden="1" x14ac:dyDescent="0.25"/>
    <row r="51" customFormat="1" hidden="1" x14ac:dyDescent="0.25"/>
    <row r="52" customFormat="1" hidden="1" x14ac:dyDescent="0.25"/>
    <row r="53" customFormat="1" hidden="1" x14ac:dyDescent="0.25"/>
    <row r="54" customFormat="1" hidden="1" x14ac:dyDescent="0.25"/>
    <row r="55" customFormat="1" hidden="1" x14ac:dyDescent="0.25"/>
    <row r="56" customFormat="1" hidden="1" x14ac:dyDescent="0.25"/>
    <row r="57" customFormat="1" hidden="1" x14ac:dyDescent="0.25"/>
    <row r="58" customFormat="1" hidden="1" x14ac:dyDescent="0.25"/>
    <row r="59" customFormat="1" hidden="1" x14ac:dyDescent="0.25"/>
    <row r="60" customFormat="1" hidden="1" x14ac:dyDescent="0.25"/>
    <row r="61" customFormat="1" hidden="1" x14ac:dyDescent="0.25"/>
    <row r="62" customFormat="1" hidden="1" x14ac:dyDescent="0.25"/>
    <row r="63" customFormat="1" hidden="1" x14ac:dyDescent="0.25"/>
    <row r="64" customFormat="1" hidden="1" x14ac:dyDescent="0.25"/>
    <row r="65" customFormat="1" hidden="1" x14ac:dyDescent="0.25"/>
    <row r="66" customFormat="1" hidden="1" x14ac:dyDescent="0.25"/>
    <row r="67" customFormat="1" hidden="1" x14ac:dyDescent="0.25"/>
  </sheetData>
  <mergeCells count="3">
    <mergeCell ref="F10:G10"/>
    <mergeCell ref="B10:C10"/>
    <mergeCell ref="B4:F8"/>
  </mergeCells>
  <dataValidations count="1">
    <dataValidation type="list" allowBlank="1" showInputMessage="1" showErrorMessage="1" sqref="F10" xr:uid="{77B61AF8-A40A-422B-A8ED-39F1D19A0BD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A84D-5567-4087-B415-9AEAE3F406F4}">
  <dimension ref="A2:D20"/>
  <sheetViews>
    <sheetView workbookViewId="0">
      <selection activeCell="K15" sqref="K15"/>
    </sheetView>
  </sheetViews>
  <sheetFormatPr defaultRowHeight="15" x14ac:dyDescent="0.25"/>
  <cols>
    <col min="1" max="1" width="34.85546875" bestFit="1" customWidth="1"/>
    <col min="2" max="2" width="14.7109375" bestFit="1" customWidth="1"/>
    <col min="3" max="3" width="20" bestFit="1" customWidth="1"/>
    <col min="7" max="7" width="18.5703125" bestFit="1" customWidth="1"/>
  </cols>
  <sheetData>
    <row r="2" spans="1:4" x14ac:dyDescent="0.25">
      <c r="A2" s="2" t="s">
        <v>34</v>
      </c>
      <c r="B2" s="2" t="s">
        <v>21</v>
      </c>
      <c r="C2" s="2" t="s">
        <v>33</v>
      </c>
      <c r="D2" s="2" t="s">
        <v>32</v>
      </c>
    </row>
    <row r="3" spans="1:4" x14ac:dyDescent="0.25">
      <c r="A3" s="2" t="str">
        <f>$B$3&amp;"-"&amp;C3</f>
        <v>CONSERVADOR-PAPEL</v>
      </c>
      <c r="B3" s="2" t="s">
        <v>19</v>
      </c>
      <c r="C3" s="2" t="s">
        <v>25</v>
      </c>
      <c r="D3" s="3">
        <v>0.3</v>
      </c>
    </row>
    <row r="4" spans="1:4" x14ac:dyDescent="0.25">
      <c r="A4" s="2" t="str">
        <f t="shared" ref="A4:A7" si="0">$B$3&amp;"-"&amp;C4</f>
        <v>CONSERVADOR-TIJOLO</v>
      </c>
      <c r="B4" s="2" t="s">
        <v>19</v>
      </c>
      <c r="C4" s="2" t="s">
        <v>26</v>
      </c>
      <c r="D4" s="3">
        <v>0.5</v>
      </c>
    </row>
    <row r="5" spans="1:4" x14ac:dyDescent="0.25">
      <c r="A5" s="2" t="str">
        <f t="shared" si="0"/>
        <v>CONSERVADOR-HÍBRIDOS</v>
      </c>
      <c r="B5" s="2" t="s">
        <v>19</v>
      </c>
      <c r="C5" s="2" t="s">
        <v>27</v>
      </c>
      <c r="D5" s="3">
        <v>0.1</v>
      </c>
    </row>
    <row r="6" spans="1:4" x14ac:dyDescent="0.25">
      <c r="A6" s="2" t="str">
        <f t="shared" si="0"/>
        <v>CONSERVADOR-FOFs</v>
      </c>
      <c r="B6" s="2" t="s">
        <v>19</v>
      </c>
      <c r="C6" s="2" t="s">
        <v>28</v>
      </c>
      <c r="D6" s="3">
        <v>0.1</v>
      </c>
    </row>
    <row r="7" spans="1:4" x14ac:dyDescent="0.25">
      <c r="A7" s="2" t="str">
        <f t="shared" si="0"/>
        <v>CONSERVADOR-DESENVOLVIMENTOS</v>
      </c>
      <c r="B7" s="2" t="s">
        <v>19</v>
      </c>
      <c r="C7" s="2" t="s">
        <v>29</v>
      </c>
      <c r="D7" s="3">
        <v>0</v>
      </c>
    </row>
    <row r="8" spans="1:4" ht="15.75" thickBot="1" x14ac:dyDescent="0.3">
      <c r="A8" s="24" t="str">
        <f>$B$3&amp;"-"&amp;C8</f>
        <v>CONSERVADOR-HOTELARIAS</v>
      </c>
      <c r="B8" s="24" t="s">
        <v>19</v>
      </c>
      <c r="C8" s="24" t="s">
        <v>30</v>
      </c>
      <c r="D8" s="25">
        <v>0</v>
      </c>
    </row>
    <row r="9" spans="1:4" x14ac:dyDescent="0.25">
      <c r="A9" s="2" t="str">
        <f>$B$9&amp;"-"&amp;C9</f>
        <v>MODERADO-PAPEL</v>
      </c>
      <c r="B9" s="2" t="s">
        <v>18</v>
      </c>
      <c r="C9" s="2" t="s">
        <v>25</v>
      </c>
      <c r="D9" s="3">
        <v>0.32</v>
      </c>
    </row>
    <row r="10" spans="1:4" x14ac:dyDescent="0.25">
      <c r="A10" s="2" t="str">
        <f>$B$9&amp;"-"&amp;C10</f>
        <v>MODERADO-TIJOLO</v>
      </c>
      <c r="B10" s="2" t="s">
        <v>18</v>
      </c>
      <c r="C10" s="2" t="s">
        <v>26</v>
      </c>
      <c r="D10" s="3">
        <v>0.35</v>
      </c>
    </row>
    <row r="11" spans="1:4" x14ac:dyDescent="0.25">
      <c r="A11" s="2" t="str">
        <f t="shared" ref="A11:A14" si="1">$B$9&amp;"-"&amp;C11</f>
        <v>MODERADO-HÍBRIDOS</v>
      </c>
      <c r="B11" s="2" t="s">
        <v>18</v>
      </c>
      <c r="C11" s="2" t="s">
        <v>27</v>
      </c>
      <c r="D11" s="3">
        <v>0.08</v>
      </c>
    </row>
    <row r="12" spans="1:4" x14ac:dyDescent="0.25">
      <c r="A12" s="2" t="str">
        <f t="shared" si="1"/>
        <v>MODERADO-FOFs</v>
      </c>
      <c r="B12" s="2" t="s">
        <v>18</v>
      </c>
      <c r="C12" s="2" t="s">
        <v>28</v>
      </c>
      <c r="D12" s="3">
        <v>0.05</v>
      </c>
    </row>
    <row r="13" spans="1:4" x14ac:dyDescent="0.25">
      <c r="A13" s="2" t="str">
        <f t="shared" si="1"/>
        <v>MODERADO-DESENVOLVIMENTOS</v>
      </c>
      <c r="B13" s="2" t="s">
        <v>18</v>
      </c>
      <c r="C13" s="2" t="s">
        <v>29</v>
      </c>
      <c r="D13" s="3">
        <v>0.1</v>
      </c>
    </row>
    <row r="14" spans="1:4" ht="15.75" thickBot="1" x14ac:dyDescent="0.3">
      <c r="A14" s="24" t="str">
        <f t="shared" si="1"/>
        <v>MODERADO-HOTELARIAS</v>
      </c>
      <c r="B14" s="24" t="s">
        <v>18</v>
      </c>
      <c r="C14" s="24" t="s">
        <v>30</v>
      </c>
      <c r="D14" s="25">
        <v>0.1</v>
      </c>
    </row>
    <row r="15" spans="1:4" x14ac:dyDescent="0.25">
      <c r="A15" s="2" t="str">
        <f>$B$15&amp;"-"&amp;C15</f>
        <v>AGRESSIVO-PAPEL</v>
      </c>
      <c r="B15" s="2" t="s">
        <v>17</v>
      </c>
      <c r="C15" s="2" t="s">
        <v>25</v>
      </c>
      <c r="D15" s="3">
        <v>0.5</v>
      </c>
    </row>
    <row r="16" spans="1:4" x14ac:dyDescent="0.25">
      <c r="A16" s="2" t="str">
        <f t="shared" ref="A16:A20" si="2">$B$15&amp;"-"&amp;C16</f>
        <v>AGRESSIVO-TIJOLO</v>
      </c>
      <c r="B16" s="2" t="s">
        <v>17</v>
      </c>
      <c r="C16" s="2" t="s">
        <v>26</v>
      </c>
      <c r="D16" s="3">
        <v>0.1</v>
      </c>
    </row>
    <row r="17" spans="1:4" x14ac:dyDescent="0.25">
      <c r="A17" s="2" t="str">
        <f t="shared" si="2"/>
        <v>AGRESSIVO-HÍBRIDOS</v>
      </c>
      <c r="B17" s="2" t="s">
        <v>17</v>
      </c>
      <c r="C17" s="2" t="s">
        <v>27</v>
      </c>
      <c r="D17" s="3">
        <v>0.05</v>
      </c>
    </row>
    <row r="18" spans="1:4" x14ac:dyDescent="0.25">
      <c r="A18" s="2" t="str">
        <f t="shared" si="2"/>
        <v>AGRESSIVO-FOFs</v>
      </c>
      <c r="B18" s="2" t="s">
        <v>17</v>
      </c>
      <c r="C18" s="2" t="s">
        <v>28</v>
      </c>
      <c r="D18" s="3">
        <v>0.05</v>
      </c>
    </row>
    <row r="19" spans="1:4" x14ac:dyDescent="0.25">
      <c r="A19" s="2" t="str">
        <f t="shared" si="2"/>
        <v>AGRESSIVO-DESENVOLVIMENTOS</v>
      </c>
      <c r="B19" s="2" t="s">
        <v>17</v>
      </c>
      <c r="C19" s="2" t="s">
        <v>29</v>
      </c>
      <c r="D19" s="3">
        <v>0.2</v>
      </c>
    </row>
    <row r="20" spans="1:4" x14ac:dyDescent="0.25">
      <c r="A20" s="2" t="str">
        <f t="shared" si="2"/>
        <v>AGRESSIVO-HOTELARIAS</v>
      </c>
      <c r="B20" s="2" t="s">
        <v>17</v>
      </c>
      <c r="C20" s="2" t="s">
        <v>30</v>
      </c>
      <c r="D20" s="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Simulador-investimento</vt:lpstr>
      <vt:lpstr>Tabela-apoio</vt:lpstr>
      <vt:lpstr>aporte</vt:lpstr>
      <vt:lpstr>patrimonio</vt:lpstr>
      <vt:lpstr>quantidade_anos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.</dc:creator>
  <cp:lastModifiedBy>Saul .</cp:lastModifiedBy>
  <dcterms:created xsi:type="dcterms:W3CDTF">2026-01-04T03:02:09Z</dcterms:created>
  <dcterms:modified xsi:type="dcterms:W3CDTF">2026-01-04T17:47:15Z</dcterms:modified>
</cp:coreProperties>
</file>